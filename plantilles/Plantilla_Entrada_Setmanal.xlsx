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s" sheetId="1" state="visible" r:id="rId1"/>
    <sheet xmlns:r="http://schemas.openxmlformats.org/officeDocument/2006/relationships" name="Configuració" sheetId="2" state="visible" r:id="rId2"/>
    <sheet xmlns:r="http://schemas.openxmlformats.org/officeDocument/2006/relationships" name="Radiòlegs" sheetId="3" state="visible" r:id="rId3"/>
    <sheet xmlns:r="http://schemas.openxmlformats.org/officeDocument/2006/relationships" name="Demanda" sheetId="4" state="visible" r:id="rId4"/>
    <sheet xmlns:r="http://schemas.openxmlformats.org/officeDocument/2006/relationships" name="Absèn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i val="1"/>
      <color rgb="00595959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2" fillId="4" borderId="0" pivotButton="0" quotePrefix="0" xfId="0"/>
    <xf numFmtId="164" fontId="0" fillId="0" borderId="0" pivotButton="0" quotePrefix="0" xfId="0"/>
    <xf numFmtId="165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Entrada setmanal · assignació d'activitat programada TD</t>
        </is>
      </c>
    </row>
    <row r="3" ht="44" customHeight="1">
      <c r="A3" s="2" t="inlineStr">
        <is>
          <t>Una vegada</t>
        </is>
      </c>
      <c r="B3" s="3" t="inlineStr">
        <is>
          <t>Omple la pestanya Radiòlegs: una fila per radiòleg. Només cal tocar-la quan hi ha canvis (alta, baixa, canvi de contracte o de preferències).</t>
        </is>
      </c>
    </row>
    <row r="4" ht="44" customHeight="1">
      <c r="A4" s="2" t="inlineStr">
        <is>
          <t>Cada setmana</t>
        </is>
      </c>
      <c r="B4" s="3" t="inlineStr">
        <is>
          <t>Fes una còpia del fitxer, canvia la setmana i els festius a Configuració, omple Demanda i Absències, i puja'l a l'app.</t>
        </is>
      </c>
    </row>
    <row r="5" ht="44" customHeight="1">
      <c r="A5" s="2" t="inlineStr">
        <is>
          <t>Mínim i Màxim</t>
        </is>
      </c>
      <c r="B5" s="3" t="inlineStr">
        <is>
          <t>En exploracions per setmana completa. Mínim = obligació contractual (0 si no en té). Màxim = el que pot fer. Si no vol extra, Màxim = Mínim. Els contractes que només cobreixen guàrdies tenen Màxim 0.</t>
        </is>
      </c>
    </row>
    <row r="6" ht="44" customHeight="1">
      <c r="A6" s="2" t="inlineStr">
        <is>
          <t>Activitats</t>
        </is>
      </c>
      <c r="B6" s="3" t="inlineStr">
        <is>
          <t>Una columna per activitat. S = la fa · P = la fa i la prefereix · buit = no la fa. Per afegir una activitat, afegeix una columna al final amb el nom (p. ex. 'RM Mama').</t>
        </is>
      </c>
    </row>
    <row r="7" ht="44" customHeight="1">
      <c r="A7" s="2" t="inlineStr">
        <is>
          <t>Actiu aquesta setmana</t>
        </is>
      </c>
      <c r="B7" s="3" t="inlineStr">
        <is>
          <t>Sí o buit = participa. No = queda fora aquesta setmana sense esborrar la fila. Un valor que no s'entén es tracta com a No i surt un avís.</t>
        </is>
      </c>
    </row>
    <row r="8" ht="44" customHeight="1">
      <c r="A8" s="2" t="inlineStr">
        <is>
          <t>Centres</t>
        </is>
      </c>
      <c r="B8" s="3" t="inlineStr">
        <is>
          <t>Centres on pot informar (accés al HIS). Buit o 'Tots' = tots. Si n'hi ha, separa'ls amb comes i escriu-los com surten a la Demanda (n'hi ha prou amb el nom curt: 'Bellvitge').</t>
        </is>
      </c>
    </row>
    <row r="9" ht="44" customHeight="1">
      <c r="A9" s="2" t="inlineStr">
        <is>
          <t>Dies sense activitat</t>
        </is>
      </c>
      <c r="B9" s="3" t="inlineStr">
        <is>
          <t>Per a contractes parcials amb dies fixos (p. ex. 'Dj, Dv'). No redueixen el Màxim: serveixen per saber quins dies hi és (ingressats) i per comptar bé les absències.</t>
        </is>
      </c>
    </row>
    <row r="10" ht="44" customHeight="1">
      <c r="A10" s="2" t="inlineStr">
        <is>
          <t>Demanda</t>
        </is>
      </c>
      <c r="B10" s="3" t="inlineStr">
        <is>
          <t>Una fila per agenda (centre, dia i franja) o per volum de la setmana (sense data). L'activitat ha de ser una de les columnes de Radiòlegs.</t>
        </is>
      </c>
    </row>
    <row r="11" ht="44" customHeight="1">
      <c r="A11" s="2" t="inlineStr">
        <is>
          <t>Àmbit</t>
        </is>
      </c>
      <c r="B11" s="3" t="inlineStr">
        <is>
          <t>Ingressat o Mixt si l'agenda té pacients ingressats: termini de 24 h, només s'assigna a qui treballa aquell dia.</t>
        </is>
      </c>
    </row>
    <row r="12" ht="44" customHeight="1">
      <c r="A12" s="2" t="inlineStr">
        <is>
          <t>Radiòleg fix</t>
        </is>
      </c>
      <c r="B12" s="3" t="inlineStr">
        <is>
          <t>Només si hi ha un pacte. Si en són diversos, separa'ls amb punt i coma (la coma ja és dins de 'Cognoms, Nom'). Si el fix no treballa el dia del bloc, es busca substitut (queda marcat); en caps de setmana i festius el pacte es manté.</t>
        </is>
      </c>
    </row>
    <row r="13" ht="44" customHeight="1">
      <c r="A13" s="2" t="inlineStr">
        <is>
          <t>Absències</t>
        </is>
      </c>
      <c r="B13" s="3" t="inlineStr">
        <is>
          <t>Una fila per radiòleg amb alguna absència la setmana: V vacances · B baixa · C congrés/formació · A altra absència · G guàrdia en una altra institució · M mig dia · X guàrdia ja assignada (informatiu). Cada setmana, buida les files de la setmana anterior.</t>
        </is>
      </c>
    </row>
    <row r="14" ht="44" customHeight="1">
      <c r="A14" s="2" t="inlineStr">
        <is>
          <t>Com s'assigna</t>
        </is>
      </c>
      <c r="B14" s="3" t="inlineStr">
        <is>
          <t>1) Cobrir la demanda (primer la que té ingressats) · 2) Respectar el radiòleg fix · 3) Omplir l'obligació de cadascú · 4) Repartir l'extra en proporció a la capacitat declarada, fins a l'ocupació objectiu · 5) No partir agendes sense necessitat · 6) Activitat preferida.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80" customWidth="1" min="3" max="3"/>
  </cols>
  <sheetData>
    <row r="1">
      <c r="A1" s="1" t="inlineStr">
        <is>
          <t>Configuració de la setmana</t>
        </is>
      </c>
    </row>
    <row r="2" ht="42" customHeight="1">
      <c r="A2" s="4" t="inlineStr">
        <is>
          <t>Cada setmana només cal canviar la data del dilluns i els festius. La resta són paràmetres de l'assignació (valors per defecte recomanats).</t>
        </is>
      </c>
    </row>
    <row r="4" ht="32" customHeight="1">
      <c r="A4" s="5" t="inlineStr">
        <is>
          <t>Paràmetre</t>
        </is>
      </c>
      <c r="B4" s="5" t="inlineStr">
        <is>
          <t>Valor</t>
        </is>
      </c>
      <c r="C4" s="5" t="inlineStr">
        <is>
          <t>Notes</t>
        </is>
      </c>
    </row>
    <row r="5">
      <c r="A5" s="6" t="inlineStr">
        <is>
          <t>Setmana (dilluns)</t>
        </is>
      </c>
      <c r="B5" s="7" t="n"/>
      <c r="C5" s="8" t="inlineStr">
        <is>
          <t>Data del dilluns de la setmana que es planifica (dd/mm/aaaa).</t>
        </is>
      </c>
    </row>
    <row r="6">
      <c r="A6" s="6" t="inlineStr">
        <is>
          <t>Festius</t>
        </is>
      </c>
      <c r="B6" s="9" t="inlineStr"/>
      <c r="C6" s="8" t="inlineStr">
        <is>
          <t>dd/mm/aaaa separats per comes. Només compten els d'aquesta setmana.</t>
        </is>
      </c>
    </row>
    <row r="7">
      <c r="A7" s="6" t="inlineStr">
        <is>
          <t>Dies laborables</t>
        </is>
      </c>
      <c r="B7" s="9" t="inlineStr">
        <is>
          <t>Dl-Dv</t>
        </is>
      </c>
      <c r="C7" s="8" t="inlineStr">
        <is>
          <t>Dies en què es treballa programada.</t>
        </is>
      </c>
    </row>
    <row r="8">
      <c r="A8" s="6" t="inlineStr">
        <is>
          <t>Ocupació objectiu de l'extra (%)</t>
        </is>
      </c>
      <c r="B8" s="9" t="n">
        <v>80</v>
      </c>
      <c r="C8" s="8" t="inlineStr">
        <is>
          <t>Si algú declara 50 d'extra, se n'hi proposen fins a 40 abans de passar del 80%.</t>
        </is>
      </c>
    </row>
    <row r="9">
      <c r="A9" s="6" t="inlineStr">
        <is>
          <t>Mida mínima de lot (exploracions)</t>
        </is>
      </c>
      <c r="B9" s="9" t="n">
        <v>5</v>
      </c>
      <c r="C9" s="8" t="inlineStr">
        <is>
          <t>Si es divideix una agenda, cap part per sota d'aquesta mida.</t>
        </is>
      </c>
    </row>
    <row r="10">
      <c r="A10" s="6" t="inlineStr">
        <is>
          <t>Màxim de radiòlegs per bloc</t>
        </is>
      </c>
      <c r="B10" s="9" t="n">
        <v>4</v>
      </c>
      <c r="C10" s="8" t="inlineStr"/>
    </row>
    <row r="11">
      <c r="A11" s="6" t="inlineStr">
        <is>
          <t>Cost de dividir un bloc (exploracions equivalents)</t>
        </is>
      </c>
      <c r="B11" s="9" t="n">
        <v>20</v>
      </c>
      <c r="C11" s="8" t="inlineStr">
        <is>
          <t>Com més alt, menys es divideixen les agendes.</t>
        </is>
      </c>
    </row>
    <row r="12">
      <c r="A12" s="6" t="inlineStr">
        <is>
          <t>Temps màxim de càlcul (s)</t>
        </is>
      </c>
      <c r="B12" s="9" t="n">
        <v>20</v>
      </c>
      <c r="C12" s="8" t="inlineStr">
        <is>
          <t>Normalment n'hi ha prou amb 20.</t>
        </is>
      </c>
    </row>
  </sheetData>
  <mergeCells count="1">
    <mergeCell ref="A2:C2"/>
  </mergeCells>
  <dataValidations count="1">
    <dataValidation sqref="B5" showDropDown="0" showInputMessage="1" showErrorMessage="1" allowBlank="1" errorTitle="Setmana" error="Data del dilluns (dd/mm/aaaa)." promptTitle="Setmana" prompt="Data del dilluns (dd/mm/aaaa)." type="dat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0" customWidth="1" min="4" max="4"/>
    <col width="10" customWidth="1" min="5" max="5"/>
    <col width="30" customWidth="1" min="6" max="6"/>
    <col width="14" customWidth="1" min="7" max="7"/>
    <col width="26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Radiòlegs i preferències</t>
        </is>
      </c>
    </row>
    <row r="2" ht="42" customHeight="1">
      <c r="A2" s="4" t="inlineStr">
        <is>
          <t>Una fila per radiòleg. Mínim i Màxim en exploracions per setmana completa. Activitats: S = la fa, P = la fa i la prefereix, buit = no la fa.</t>
        </is>
      </c>
    </row>
    <row r="3">
      <c r="A3" s="10" t="inlineStr">
        <is>
          <t>Perfil</t>
        </is>
      </c>
      <c r="I3" s="10" t="inlineStr">
        <is>
          <t>Activitats: S = la fa · P = la fa i la prefereix</t>
        </is>
      </c>
    </row>
    <row r="4" ht="32" customHeight="1">
      <c r="A4" s="5" t="inlineStr">
        <is>
          <t>Radiòleg</t>
        </is>
      </c>
      <c r="B4" s="5" t="inlineStr">
        <is>
          <t>Correu</t>
        </is>
      </c>
      <c r="C4" s="5" t="inlineStr">
        <is>
          <t>Actiu aquesta setmana</t>
        </is>
      </c>
      <c r="D4" s="5" t="inlineStr">
        <is>
          <t>Mínim setmanal</t>
        </is>
      </c>
      <c r="E4" s="5" t="inlineStr">
        <is>
          <t>Màxim setmanal</t>
        </is>
      </c>
      <c r="F4" s="5" t="inlineStr">
        <is>
          <t>Centres on pot informar</t>
        </is>
      </c>
      <c r="G4" s="5" t="inlineStr">
        <is>
          <t>Dies sense activitat</t>
        </is>
      </c>
      <c r="H4" s="5" t="inlineStr">
        <is>
          <t>Observacions</t>
        </is>
      </c>
      <c r="I4" s="5" t="inlineStr">
        <is>
          <t>RM Neuro</t>
        </is>
      </c>
      <c r="J4" s="5" t="inlineStr">
        <is>
          <t>RM Body</t>
        </is>
      </c>
      <c r="K4" s="5" t="inlineStr">
        <is>
          <t>RM MSK</t>
        </is>
      </c>
      <c r="L4" s="5" t="inlineStr">
        <is>
          <t>RM Cardio</t>
        </is>
      </c>
      <c r="M4" s="5" t="inlineStr">
        <is>
          <t>RM Miscel·lània</t>
        </is>
      </c>
      <c r="N4" s="5" t="inlineStr">
        <is>
          <t>TC Neuro</t>
        </is>
      </c>
      <c r="O4" s="5" t="inlineStr">
        <is>
          <t>TC Body</t>
        </is>
      </c>
      <c r="P4" s="5" t="inlineStr">
        <is>
          <t>TC MSK</t>
        </is>
      </c>
      <c r="Q4" s="5" t="inlineStr">
        <is>
          <t>TC Cardio</t>
        </is>
      </c>
      <c r="R4" s="5" t="inlineStr">
        <is>
          <t>TC Miscel·lània</t>
        </is>
      </c>
    </row>
    <row r="5"/>
  </sheetData>
  <mergeCells count="3">
    <mergeCell ref="I3:R3"/>
    <mergeCell ref="A2:R2"/>
    <mergeCell ref="A3:H3"/>
  </mergeCells>
  <dataValidations count="3">
    <dataValidation sqref="C5:C84" showDropDown="0" showInputMessage="1" showErrorMessage="1" allowBlank="1" errorTitle="Actiu" error="Sí o No (buit = Sí)." promptTitle="Actiu" prompt="Sí o No (buit = Sí)." type="list">
      <formula1>"Sí,No"</formula1>
    </dataValidation>
    <dataValidation sqref="D5:E84" showDropDown="0" showInputMessage="1" showErrorMessage="1" allowBlank="1" errorTitle="Capacitat" error="Exploracions per setmana (número ≥ 0)." promptTitle="Capacitat" prompt="Exploracions per setmana (número ≥ 0)." type="decimal" operator="greaterThanOrEqual">
      <formula1>0</formula1>
    </dataValidation>
    <dataValidation sqref="I5:AD84" showDropDown="0" showInputMessage="1" showErrorMessage="1" allowBlank="1" errorTitle="Competència" error="S = la fa · P = la fa i la prefereix · buit = no la fa." promptTitle="Competència" prompt="S = la fa · P = la fa i la prefereix · buit = no la fa." type="list">
      <formula1>"S,P"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8" customWidth="1" min="4" max="4"/>
    <col width="18" customWidth="1" min="5" max="5"/>
    <col width="12" customWidth="1" min="6" max="6"/>
    <col width="12" customWidth="1" min="7" max="7"/>
    <col width="24" customWidth="1" min="8" max="8"/>
    <col width="30" customWidth="1" min="9" max="9"/>
  </cols>
  <sheetData>
    <row r="1">
      <c r="A1" s="1" t="inlineStr">
        <is>
          <t>Demanda de la setmana</t>
        </is>
      </c>
    </row>
    <row r="2" ht="42" customHeight="1">
      <c r="A2" s="4" t="inlineStr">
        <is>
          <t>Una fila per agenda (centre, dia i franja) o per volum de la setmana (sense data). Activitat: una de les columnes de Radiòlegs. Radiòleg fix: només si hi ha un pacte.</t>
        </is>
      </c>
    </row>
    <row r="4" ht="32" customHeight="1">
      <c r="A4" s="5" t="inlineStr">
        <is>
          <t>Centre</t>
        </is>
      </c>
      <c r="B4" s="5" t="inlineStr">
        <is>
          <t>Data</t>
        </is>
      </c>
      <c r="C4" s="5" t="inlineStr">
        <is>
          <t>Franja</t>
        </is>
      </c>
      <c r="D4" s="5" t="inlineStr">
        <is>
          <t>Agenda / equip</t>
        </is>
      </c>
      <c r="E4" s="5" t="inlineStr">
        <is>
          <t>Activitat</t>
        </is>
      </c>
      <c r="F4" s="5" t="inlineStr">
        <is>
          <t>Exploracions</t>
        </is>
      </c>
      <c r="G4" s="5" t="inlineStr">
        <is>
          <t>Àmbit</t>
        </is>
      </c>
      <c r="H4" s="5" t="inlineStr">
        <is>
          <t>Radiòleg fix</t>
        </is>
      </c>
      <c r="I4" s="5" t="inlineStr">
        <is>
          <t>Observacions</t>
        </is>
      </c>
    </row>
    <row r="5">
      <c r="B5" s="11" t="n"/>
    </row>
    <row r="6">
      <c r="B6" s="11" t="n"/>
    </row>
    <row r="7">
      <c r="B7" s="11" t="n"/>
    </row>
    <row r="8">
      <c r="B8" s="11" t="n"/>
    </row>
    <row r="9">
      <c r="B9" s="11" t="n"/>
    </row>
    <row r="10">
      <c r="B10" s="11" t="n"/>
    </row>
    <row r="11">
      <c r="B11" s="11" t="n"/>
    </row>
    <row r="12">
      <c r="B12" s="11" t="n"/>
    </row>
    <row r="13">
      <c r="B13" s="11" t="n"/>
    </row>
    <row r="14">
      <c r="B14" s="11" t="n"/>
    </row>
    <row r="15">
      <c r="B15" s="11" t="n"/>
    </row>
    <row r="16">
      <c r="B16" s="11" t="n"/>
    </row>
    <row r="17">
      <c r="B17" s="11" t="n"/>
    </row>
    <row r="18">
      <c r="B18" s="11" t="n"/>
    </row>
    <row r="19">
      <c r="B19" s="11" t="n"/>
    </row>
    <row r="20">
      <c r="B20" s="11" t="n"/>
    </row>
    <row r="21">
      <c r="B21" s="11" t="n"/>
    </row>
    <row r="22">
      <c r="B22" s="11" t="n"/>
    </row>
    <row r="23">
      <c r="B23" s="11" t="n"/>
    </row>
    <row r="24">
      <c r="B24" s="11" t="n"/>
    </row>
    <row r="25">
      <c r="B25" s="11" t="n"/>
    </row>
    <row r="26">
      <c r="B26" s="11" t="n"/>
    </row>
    <row r="27">
      <c r="B27" s="11" t="n"/>
    </row>
    <row r="28">
      <c r="B28" s="11" t="n"/>
    </row>
    <row r="29">
      <c r="B29" s="11" t="n"/>
    </row>
    <row r="30">
      <c r="B30" s="11" t="n"/>
    </row>
    <row r="31">
      <c r="B31" s="11" t="n"/>
    </row>
    <row r="32">
      <c r="B32" s="11" t="n"/>
    </row>
    <row r="33">
      <c r="B33" s="11" t="n"/>
    </row>
    <row r="34">
      <c r="B34" s="11" t="n"/>
    </row>
    <row r="35">
      <c r="B35" s="11" t="n"/>
    </row>
    <row r="36">
      <c r="B36" s="11" t="n"/>
    </row>
    <row r="37">
      <c r="B37" s="11" t="n"/>
    </row>
    <row r="38">
      <c r="B38" s="11" t="n"/>
    </row>
    <row r="39">
      <c r="B39" s="11" t="n"/>
    </row>
    <row r="40">
      <c r="B40" s="11" t="n"/>
    </row>
    <row r="41">
      <c r="B41" s="11" t="n"/>
    </row>
    <row r="42">
      <c r="B42" s="11" t="n"/>
    </row>
    <row r="43">
      <c r="B43" s="11" t="n"/>
    </row>
    <row r="44">
      <c r="B44" s="11" t="n"/>
    </row>
    <row r="45">
      <c r="B45" s="11" t="n"/>
    </row>
    <row r="46">
      <c r="B46" s="11" t="n"/>
    </row>
    <row r="47">
      <c r="B47" s="11" t="n"/>
    </row>
    <row r="48">
      <c r="B48" s="11" t="n"/>
    </row>
    <row r="49">
      <c r="B49" s="11" t="n"/>
    </row>
    <row r="50">
      <c r="B50" s="11" t="n"/>
    </row>
    <row r="51">
      <c r="B51" s="11" t="n"/>
    </row>
    <row r="52">
      <c r="B52" s="11" t="n"/>
    </row>
    <row r="53">
      <c r="B53" s="11" t="n"/>
    </row>
    <row r="54">
      <c r="B54" s="11" t="n"/>
    </row>
    <row r="55">
      <c r="B55" s="11" t="n"/>
    </row>
    <row r="56">
      <c r="B56" s="11" t="n"/>
    </row>
    <row r="57">
      <c r="B57" s="11" t="n"/>
    </row>
    <row r="58">
      <c r="B58" s="11" t="n"/>
    </row>
    <row r="59">
      <c r="B59" s="11" t="n"/>
    </row>
    <row r="60">
      <c r="B60" s="11" t="n"/>
    </row>
    <row r="61">
      <c r="B61" s="11" t="n"/>
    </row>
    <row r="62">
      <c r="B62" s="11" t="n"/>
    </row>
    <row r="63">
      <c r="B63" s="11" t="n"/>
    </row>
    <row r="64">
      <c r="B64" s="11" t="n"/>
    </row>
    <row r="65">
      <c r="B65" s="11" t="n"/>
    </row>
    <row r="66">
      <c r="B66" s="11" t="n"/>
    </row>
    <row r="67">
      <c r="B67" s="11" t="n"/>
    </row>
    <row r="68">
      <c r="B68" s="11" t="n"/>
    </row>
    <row r="69">
      <c r="B69" s="11" t="n"/>
    </row>
    <row r="70">
      <c r="B70" s="11" t="n"/>
    </row>
    <row r="71">
      <c r="B71" s="11" t="n"/>
    </row>
    <row r="72">
      <c r="B72" s="11" t="n"/>
    </row>
    <row r="73">
      <c r="B73" s="11" t="n"/>
    </row>
    <row r="74">
      <c r="B74" s="11" t="n"/>
    </row>
    <row r="75">
      <c r="B75" s="11" t="n"/>
    </row>
    <row r="76">
      <c r="B76" s="11" t="n"/>
    </row>
    <row r="77">
      <c r="B77" s="11" t="n"/>
    </row>
    <row r="78">
      <c r="B78" s="11" t="n"/>
    </row>
    <row r="79">
      <c r="B79" s="11" t="n"/>
    </row>
    <row r="80">
      <c r="B80" s="11" t="n"/>
    </row>
    <row r="81">
      <c r="B81" s="11" t="n"/>
    </row>
    <row r="82">
      <c r="B82" s="11" t="n"/>
    </row>
    <row r="83">
      <c r="B83" s="11" t="n"/>
    </row>
    <row r="84">
      <c r="B84" s="11" t="n"/>
    </row>
    <row r="85">
      <c r="B85" s="11" t="n"/>
    </row>
    <row r="86">
      <c r="B86" s="11" t="n"/>
    </row>
    <row r="87">
      <c r="B87" s="11" t="n"/>
    </row>
    <row r="88">
      <c r="B88" s="11" t="n"/>
    </row>
    <row r="89">
      <c r="B89" s="11" t="n"/>
    </row>
    <row r="90">
      <c r="B90" s="11" t="n"/>
    </row>
    <row r="91">
      <c r="B91" s="11" t="n"/>
    </row>
    <row r="92">
      <c r="B92" s="11" t="n"/>
    </row>
    <row r="93">
      <c r="B93" s="11" t="n"/>
    </row>
    <row r="94">
      <c r="B94" s="11" t="n"/>
    </row>
    <row r="95">
      <c r="B95" s="11" t="n"/>
    </row>
    <row r="96">
      <c r="B96" s="11" t="n"/>
    </row>
    <row r="97">
      <c r="B97" s="11" t="n"/>
    </row>
    <row r="98">
      <c r="B98" s="11" t="n"/>
    </row>
    <row r="99">
      <c r="B99" s="11" t="n"/>
    </row>
    <row r="100">
      <c r="B100" s="11" t="n"/>
    </row>
    <row r="101">
      <c r="B101" s="11" t="n"/>
    </row>
    <row r="102">
      <c r="B102" s="11" t="n"/>
    </row>
    <row r="103">
      <c r="B103" s="11" t="n"/>
    </row>
    <row r="104">
      <c r="B104" s="11" t="n"/>
    </row>
    <row r="105">
      <c r="B105" s="11" t="n"/>
    </row>
    <row r="106">
      <c r="B106" s="11" t="n"/>
    </row>
    <row r="107">
      <c r="B107" s="11" t="n"/>
    </row>
    <row r="108">
      <c r="B108" s="11" t="n"/>
    </row>
    <row r="109">
      <c r="B109" s="11" t="n"/>
    </row>
    <row r="110">
      <c r="B110" s="11" t="n"/>
    </row>
    <row r="111">
      <c r="B111" s="11" t="n"/>
    </row>
    <row r="112">
      <c r="B112" s="11" t="n"/>
    </row>
    <row r="113">
      <c r="B113" s="11" t="n"/>
    </row>
    <row r="114">
      <c r="B114" s="11" t="n"/>
    </row>
    <row r="115">
      <c r="B115" s="11" t="n"/>
    </row>
    <row r="116">
      <c r="B116" s="11" t="n"/>
    </row>
    <row r="117">
      <c r="B117" s="11" t="n"/>
    </row>
    <row r="118">
      <c r="B118" s="11" t="n"/>
    </row>
    <row r="119">
      <c r="B119" s="11" t="n"/>
    </row>
    <row r="120">
      <c r="B120" s="11" t="n"/>
    </row>
    <row r="121">
      <c r="B121" s="11" t="n"/>
    </row>
    <row r="122">
      <c r="B122" s="11" t="n"/>
    </row>
    <row r="123">
      <c r="B123" s="11" t="n"/>
    </row>
    <row r="124">
      <c r="B124" s="11" t="n"/>
    </row>
    <row r="125">
      <c r="B125" s="11" t="n"/>
    </row>
    <row r="126">
      <c r="B126" s="11" t="n"/>
    </row>
    <row r="127">
      <c r="B127" s="11" t="n"/>
    </row>
    <row r="128">
      <c r="B128" s="11" t="n"/>
    </row>
    <row r="129">
      <c r="B129" s="11" t="n"/>
    </row>
    <row r="130">
      <c r="B130" s="11" t="n"/>
    </row>
    <row r="131">
      <c r="B131" s="11" t="n"/>
    </row>
    <row r="132">
      <c r="B132" s="11" t="n"/>
    </row>
    <row r="133">
      <c r="B133" s="11" t="n"/>
    </row>
    <row r="134">
      <c r="B134" s="11" t="n"/>
    </row>
    <row r="135">
      <c r="B135" s="11" t="n"/>
    </row>
    <row r="136">
      <c r="B136" s="11" t="n"/>
    </row>
    <row r="137">
      <c r="B137" s="11" t="n"/>
    </row>
    <row r="138">
      <c r="B138" s="11" t="n"/>
    </row>
    <row r="139">
      <c r="B139" s="11" t="n"/>
    </row>
    <row r="140">
      <c r="B140" s="11" t="n"/>
    </row>
    <row r="141">
      <c r="B141" s="11" t="n"/>
    </row>
    <row r="142">
      <c r="B142" s="11" t="n"/>
    </row>
    <row r="143">
      <c r="B143" s="11" t="n"/>
    </row>
    <row r="144">
      <c r="B144" s="11" t="n"/>
    </row>
    <row r="145">
      <c r="B145" s="11" t="n"/>
    </row>
    <row r="146">
      <c r="B146" s="11" t="n"/>
    </row>
    <row r="147">
      <c r="B147" s="11" t="n"/>
    </row>
    <row r="148">
      <c r="B148" s="11" t="n"/>
    </row>
    <row r="149">
      <c r="B149" s="11" t="n"/>
    </row>
    <row r="150">
      <c r="B150" s="11" t="n"/>
    </row>
    <row r="151">
      <c r="B151" s="11" t="n"/>
    </row>
    <row r="152">
      <c r="B152" s="11" t="n"/>
    </row>
    <row r="153">
      <c r="B153" s="11" t="n"/>
    </row>
    <row r="154">
      <c r="B154" s="11" t="n"/>
    </row>
    <row r="155">
      <c r="B155" s="11" t="n"/>
    </row>
    <row r="156">
      <c r="B156" s="11" t="n"/>
    </row>
    <row r="157">
      <c r="B157" s="11" t="n"/>
    </row>
    <row r="158">
      <c r="B158" s="11" t="n"/>
    </row>
    <row r="159">
      <c r="B159" s="11" t="n"/>
    </row>
    <row r="160">
      <c r="B160" s="11" t="n"/>
    </row>
    <row r="161">
      <c r="B161" s="11" t="n"/>
    </row>
    <row r="162">
      <c r="B162" s="11" t="n"/>
    </row>
    <row r="163">
      <c r="B163" s="11" t="n"/>
    </row>
    <row r="164">
      <c r="B164" s="11" t="n"/>
    </row>
  </sheetData>
  <mergeCells count="1">
    <mergeCell ref="A2:I2"/>
  </mergeCells>
  <dataValidations count="6">
    <dataValidation sqref="B5:B164" showDropDown="0" showInputMessage="1" showErrorMessage="1" allowBlank="1" errorTitle="Data" error="Una data de la setmana planificada (cal el dilluns a Configuració), o buit si és volum de tota la setmana." promptTitle="Data" prompt="Una data de la setmana planificada (cal el dilluns a Configuració), o buit si és volum de tota la setmana." type="date" operator="between">
      <formula1>'Configuració'!$B$5</formula1>
      <formula2>'Configuració'!$B$5+6</formula2>
    </dataValidation>
    <dataValidation sqref="C5:C164" showDropDown="0" showInputMessage="1" showErrorMessage="1" allowBlank="1" errorTitle="Franja" error="Matí, Tarda, Nit o Tot el dia." promptTitle="Franja" prompt="Matí, Tarda, Nit o Tot el dia." type="list">
      <formula1>"Matí,Tarda,Nit,Tot el dia"</formula1>
    </dataValidation>
    <dataValidation sqref="E5:E164" showDropDown="0" showInputMessage="1" showErrorMessage="1" allowBlank="1" errorTitle="Activitat" error="Ha de ser una de les columnes d'activitat de la pestanya Radiòlegs." promptTitle="Activitat" prompt="Ha de ser una de les columnes d'activitat de la pestanya Radiòlegs." type="list">
      <formula1>'Radiòlegs'!$I$4:$AD$4</formula1>
    </dataValidation>
    <dataValidation sqref="F5:F164" showDropDown="0" showInputMessage="1" showErrorMessage="1" allowBlank="1" errorTitle="Exploracions" error="Nombre enter d'exploracions (&gt; 0)." promptTitle="Exploracions" prompt="Nombre enter d'exploracions (&gt; 0)." type="whole" operator="greaterThan">
      <formula1>0</formula1>
    </dataValidation>
    <dataValidation sqref="G5:G164" showDropDown="0" showInputMessage="1" showErrorMessage="1" allowBlank="1" errorTitle="Àmbit" error="Ambulatori (o buit), Ingressat o Mixt." promptTitle="Àmbit" prompt="Ambulatori (o buit), Ingressat o Mixt." type="list">
      <formula1>"Ambulatori,Ingressat,Mixt"</formula1>
    </dataValidation>
    <dataValidation sqref="H5:H164" showDropDown="0" showInputMessage="1" showErrorMessage="0" allowBlank="1" errorTitle="Radiòleg fix" error="Només si hi ha un pacte. Diversos: separa'ls amb punt i coma." promptTitle="Radiòleg fix" prompt="Només si hi ha un pacte. Diversos: separa'ls amb punt i coma." type="list">
      <formula1>'Radiòlegs'!$A$5:$A$84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30" customWidth="1" min="9" max="9"/>
  </cols>
  <sheetData>
    <row r="1">
      <c r="A1" s="1" t="inlineStr">
        <is>
          <t>Absències de la setmana</t>
        </is>
      </c>
    </row>
    <row r="2" ht="42" customHeight="1">
      <c r="A2" s="4" t="inlineStr">
        <is>
          <t>Només els radiòlegs que tenen alguna absència (desplegable amb els noms de Radiòlegs). V vacances · B baixa · C congrés/formació · A altra absència · G guàrdia en una altra institució · M mig dia · X guàrdia ja assignada (informatiu).</t>
        </is>
      </c>
    </row>
    <row r="3">
      <c r="B3" s="12">
        <f>IF('Configuració'!$B$5="","",'Configuració'!$B$5+0)</f>
        <v/>
      </c>
      <c r="C3" s="12">
        <f>IF('Configuració'!$B$5="","",'Configuració'!$B$5+1)</f>
        <v/>
      </c>
      <c r="D3" s="12">
        <f>IF('Configuració'!$B$5="","",'Configuració'!$B$5+2)</f>
        <v/>
      </c>
      <c r="E3" s="12">
        <f>IF('Configuració'!$B$5="","",'Configuració'!$B$5+3)</f>
        <v/>
      </c>
      <c r="F3" s="12">
        <f>IF('Configuració'!$B$5="","",'Configuració'!$B$5+4)</f>
        <v/>
      </c>
      <c r="G3" s="12">
        <f>IF('Configuració'!$B$5="","",'Configuració'!$B$5+5)</f>
        <v/>
      </c>
      <c r="H3" s="12">
        <f>IF('Configuració'!$B$5="","",'Configuració'!$B$5+6)</f>
        <v/>
      </c>
    </row>
    <row r="4" ht="32" customHeight="1">
      <c r="A4" s="5" t="inlineStr">
        <is>
          <t>Radiòleg</t>
        </is>
      </c>
      <c r="B4" s="5" t="inlineStr">
        <is>
          <t>Dl</t>
        </is>
      </c>
      <c r="C4" s="5" t="inlineStr">
        <is>
          <t>Dt</t>
        </is>
      </c>
      <c r="D4" s="5" t="inlineStr">
        <is>
          <t>Dc</t>
        </is>
      </c>
      <c r="E4" s="5" t="inlineStr">
        <is>
          <t>Dj</t>
        </is>
      </c>
      <c r="F4" s="5" t="inlineStr">
        <is>
          <t>Dv</t>
        </is>
      </c>
      <c r="G4" s="5" t="inlineStr">
        <is>
          <t>Ds</t>
        </is>
      </c>
      <c r="H4" s="5" t="inlineStr">
        <is>
          <t>Dg</t>
        </is>
      </c>
      <c r="I4" s="5" t="inlineStr">
        <is>
          <t>Observacions</t>
        </is>
      </c>
    </row>
    <row r="5"/>
  </sheetData>
  <mergeCells count="1">
    <mergeCell ref="A2:I2"/>
  </mergeCells>
  <dataValidations count="2">
    <dataValidation sqref="A5:A84" showDropDown="0" showInputMessage="1" showErrorMessage="0" allowBlank="1" errorTitle="Radiòleg" error="Tria el radiòleg de la llista (els noms de la pestanya Radiòlegs)." promptTitle="Radiòleg" prompt="Tria el radiòleg de la llista (els noms de la pestanya Radiòlegs)." type="list">
      <formula1>'Radiòlegs'!$A$5:$A$84</formula1>
    </dataValidation>
    <dataValidation sqref="B5:H84" showDropDown="0" showInputMessage="1" showErrorMessage="1" allowBlank="1" errorTitle="Absència" error="V vacances · B baixa · C congrés/formació · A altra · G guàrdia fora · M mig dia · X guàrdia assignada." promptTitle="Absència" prompt="V vacances · B baixa · C congrés/formació · A altra · G guàrdia fora · M mig dia · X guàrdia assignada." type="list">
      <formula1>"V,B,C,A,G,M,X"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2026-10-01T18:57:59Z</dcterms:created>
  <dcterms:modified xmlns:dcterms="http://purl.org/dc/terms/" xmlns:xsi="http://www.w3.org/2001/XMLSchema-instance" xsi:type="dcterms:W3CDTF">2026-10-01T18:57:59Z</dcterms:modified>
</cp:coreProperties>
</file>